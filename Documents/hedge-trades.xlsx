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asAI\docs\"/>
    </mc:Choice>
  </mc:AlternateContent>
  <xr:revisionPtr revIDLastSave="0" documentId="8_{F6BBE419-5C54-4420-B4A8-3F53B9429F38}" xr6:coauthVersionLast="46" xr6:coauthVersionMax="46" xr10:uidLastSave="{00000000-0000-0000-0000-000000000000}"/>
  <bookViews>
    <workbookView xWindow="8040" yWindow="2205" windowWidth="38700" windowHeight="15435" xr2:uid="{E5AFFF93-36EF-4EFE-B5F8-C8A45CF218A9}"/>
  </bookViews>
  <sheets>
    <sheet name="Hedge Trade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1" i="1" l="1"/>
  <c r="L20" i="1" s="1"/>
  <c r="K20" i="1"/>
  <c r="K18" i="1" l="1"/>
  <c r="K17" i="1"/>
  <c r="L17" i="1" l="1"/>
  <c r="L14" i="1"/>
  <c r="K15" i="1"/>
  <c r="K14" i="1"/>
  <c r="L11" i="1" l="1"/>
  <c r="K12" i="1"/>
  <c r="K11" i="1"/>
  <c r="L5" i="1" l="1"/>
  <c r="K9" i="1"/>
  <c r="L8" i="1" s="1"/>
  <c r="K8" i="1"/>
  <c r="K6" i="1" l="1"/>
  <c r="K5" i="1"/>
  <c r="K3" i="1" l="1"/>
  <c r="K2" i="1"/>
  <c r="L2" i="1" s="1"/>
</calcChain>
</file>

<file path=xl/sharedStrings.xml><?xml version="1.0" encoding="utf-8"?>
<sst xmlns="http://schemas.openxmlformats.org/spreadsheetml/2006/main" count="40" uniqueCount="16">
  <si>
    <t>Action</t>
  </si>
  <si>
    <t>Last Trade Date</t>
  </si>
  <si>
    <t>Strike</t>
  </si>
  <si>
    <t>Type</t>
  </si>
  <si>
    <t>Delta</t>
  </si>
  <si>
    <t>Bid</t>
  </si>
  <si>
    <t>Ask</t>
  </si>
  <si>
    <t>Sell</t>
  </si>
  <si>
    <t>PUT</t>
  </si>
  <si>
    <t>Buy</t>
  </si>
  <si>
    <t>Net Price</t>
  </si>
  <si>
    <t>Hedge Pnl</t>
  </si>
  <si>
    <t>OrderId</t>
  </si>
  <si>
    <t>TradeId</t>
  </si>
  <si>
    <t>Value Date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</si>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</sst>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D210-61B6-4FF9-9E82-A24B9244B9FA}">
  <dimension ref="A1:L21"/>
  <sheetViews>
    <sheetView tabSelected="1" workbookViewId="0">
      <selection activeCell="J20" sqref="J20"/>
    </sheetView>
  </sheetViews>
  <sheetFormatPr defaultRowHeight="15" x14ac:dyDescent="0.25"/>
  <cols>
    <col min="2" max="3" width="14.28515625" customWidth="1"/>
    <col min="4" max="4" width="17.28515625" customWidth="1"/>
    <col min="5" max="5" width="21.7109375" customWidth="1"/>
    <col min="6" max="6" width="24.140625" customWidth="1"/>
    <col min="9" max="9" width="14" customWidth="1"/>
    <col min="10" max="10" width="22.140625" customWidth="1"/>
    <col min="11" max="11" width="36.7109375" customWidth="1"/>
    <col min="12" max="12" width="23.42578125" customWidth="1"/>
  </cols>
  <sheetData>
    <row r="1" spans="1:12" x14ac:dyDescent="0.25">
      <c r="A1" t="s">
        <v>12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10</v>
      </c>
      <c r="L1" t="s">
        <v>11</v>
      </c>
    </row>
    <row r="2" spans="1:12" x14ac:dyDescent="0.25">
      <c r="A2">
        <v>1214</v>
      </c>
      <c r="B2">
        <v>1314</v>
      </c>
      <c r="C2" s="2">
        <v>43881</v>
      </c>
      <c r="D2" t="s">
        <v>9</v>
      </c>
      <c r="E2" s="1">
        <v>43938</v>
      </c>
      <c r="F2">
        <v>3040</v>
      </c>
      <c r="G2" t="s">
        <v>8</v>
      </c>
      <c r="H2">
        <v>-0.157</v>
      </c>
      <c r="I2">
        <v>13.75</v>
      </c>
      <c r="J2">
        <v>14.25</v>
      </c>
      <c r="K2">
        <f>(I2+J2)/2</f>
        <v>14</v>
      </c>
      <c r="L2">
        <f>(K3-K2) * 8 * 50 - (2*8*1.42)</f>
        <v>8927.2800000000007</v>
      </c>
    </row>
    <row r="3" spans="1:12" x14ac:dyDescent="0.25">
      <c r="A3">
        <v>1214</v>
      </c>
      <c r="B3">
        <v>1314</v>
      </c>
      <c r="C3" s="2">
        <v>43885</v>
      </c>
      <c r="D3" t="s">
        <v>7</v>
      </c>
      <c r="E3" s="1">
        <v>43938</v>
      </c>
      <c r="F3">
        <v>3040</v>
      </c>
      <c r="G3" t="s">
        <v>8</v>
      </c>
      <c r="H3">
        <v>-0.122</v>
      </c>
      <c r="I3">
        <v>36</v>
      </c>
      <c r="J3">
        <v>36.75</v>
      </c>
      <c r="K3">
        <f>(I3+J3)/2</f>
        <v>36.375</v>
      </c>
    </row>
    <row r="5" spans="1:12" x14ac:dyDescent="0.25">
      <c r="A5">
        <v>1225</v>
      </c>
      <c r="B5">
        <v>1378</v>
      </c>
      <c r="C5" s="2">
        <v>43914</v>
      </c>
      <c r="D5" t="s">
        <v>9</v>
      </c>
      <c r="F5">
        <v>2980</v>
      </c>
      <c r="G5" t="s">
        <v>15</v>
      </c>
      <c r="H5">
        <v>-7.3999999999999996E-2</v>
      </c>
      <c r="I5">
        <v>22.75</v>
      </c>
      <c r="J5">
        <v>24.25</v>
      </c>
      <c r="K5">
        <f>(I5+J5)/2</f>
        <v>23.5</v>
      </c>
      <c r="L5">
        <f>(K6-K5) *10 * 50 - (2*10*1.42)</f>
        <v>3221.6</v>
      </c>
    </row>
    <row r="6" spans="1:12" x14ac:dyDescent="0.25">
      <c r="A6">
        <v>1225</v>
      </c>
      <c r="B6">
        <v>1378</v>
      </c>
      <c r="C6" s="2">
        <v>43914</v>
      </c>
      <c r="D6" t="s">
        <v>7</v>
      </c>
      <c r="F6">
        <v>2980</v>
      </c>
      <c r="G6" t="s">
        <v>15</v>
      </c>
      <c r="H6">
        <v>-7.3999999999999996E-2</v>
      </c>
      <c r="I6">
        <v>29</v>
      </c>
      <c r="J6">
        <v>31</v>
      </c>
      <c r="K6">
        <f>(I6+J6)/2</f>
        <v>30</v>
      </c>
    </row>
    <row r="8" spans="1:12" x14ac:dyDescent="0.25">
      <c r="A8">
        <v>1244</v>
      </c>
      <c r="B8">
        <v>1426</v>
      </c>
      <c r="C8" s="2">
        <v>43955</v>
      </c>
      <c r="D8" t="s">
        <v>9</v>
      </c>
      <c r="F8">
        <v>2330</v>
      </c>
      <c r="G8" t="s">
        <v>8</v>
      </c>
      <c r="H8">
        <v>-0.1474</v>
      </c>
      <c r="I8">
        <v>42.5</v>
      </c>
      <c r="J8">
        <v>44.25</v>
      </c>
      <c r="K8">
        <f>(I8+J8)/2</f>
        <v>43.375</v>
      </c>
      <c r="L8">
        <f>(K9-K8) *8* 50 - (2*8*1.42)</f>
        <v>77.28</v>
      </c>
    </row>
    <row r="9" spans="1:12" x14ac:dyDescent="0.25">
      <c r="A9">
        <v>1244</v>
      </c>
      <c r="B9">
        <v>1426</v>
      </c>
      <c r="C9" s="2">
        <v>43955</v>
      </c>
      <c r="D9" t="s">
        <v>7</v>
      </c>
      <c r="F9">
        <v>2330</v>
      </c>
      <c r="G9" t="s">
        <v>8</v>
      </c>
      <c r="H9">
        <v>-0.14829999999999999</v>
      </c>
      <c r="I9">
        <v>42.5</v>
      </c>
      <c r="J9">
        <v>44.75</v>
      </c>
      <c r="K9">
        <f>(I9+J9)/2</f>
        <v>43.625</v>
      </c>
    </row>
    <row r="11" spans="1:12" x14ac:dyDescent="0.25">
      <c r="A11">
        <v>1256</v>
      </c>
      <c r="B11">
        <v>1447</v>
      </c>
      <c r="C11" s="2">
        <v>43993</v>
      </c>
      <c r="D11" t="s">
        <v>9</v>
      </c>
      <c r="F11">
        <v>2670</v>
      </c>
      <c r="G11" t="s">
        <v>8</v>
      </c>
      <c r="H11">
        <v>-0.13389999999999999</v>
      </c>
      <c r="I11">
        <v>31.75</v>
      </c>
      <c r="J11">
        <v>32.5</v>
      </c>
      <c r="K11">
        <f>(I11+J11)/2</f>
        <v>32.125</v>
      </c>
      <c r="L11">
        <f>(K12-K11) *12* 50 - (2*12*1.42)</f>
        <v>17215.919999999998</v>
      </c>
    </row>
    <row r="12" spans="1:12" x14ac:dyDescent="0.25">
      <c r="A12">
        <v>1256</v>
      </c>
      <c r="B12">
        <v>1447</v>
      </c>
      <c r="C12" s="2">
        <v>43993</v>
      </c>
      <c r="D12" t="s">
        <v>7</v>
      </c>
      <c r="F12">
        <v>2670</v>
      </c>
      <c r="G12" t="s">
        <v>8</v>
      </c>
      <c r="H12">
        <v>-0.14829999999999999</v>
      </c>
      <c r="I12">
        <v>60</v>
      </c>
      <c r="J12">
        <v>61.75</v>
      </c>
      <c r="K12">
        <f>(I12+J12)/2</f>
        <v>60.875</v>
      </c>
    </row>
    <row r="14" spans="1:12" x14ac:dyDescent="0.25">
      <c r="A14">
        <v>1265</v>
      </c>
      <c r="B14">
        <v>1473</v>
      </c>
      <c r="C14" s="2">
        <v>44006</v>
      </c>
      <c r="D14" t="s">
        <v>9</v>
      </c>
      <c r="E14" s="1">
        <v>44074</v>
      </c>
      <c r="F14">
        <v>2520</v>
      </c>
      <c r="G14" t="s">
        <v>8</v>
      </c>
      <c r="H14">
        <v>-0.1183</v>
      </c>
      <c r="I14">
        <v>34.75</v>
      </c>
      <c r="J14">
        <v>35.5</v>
      </c>
      <c r="K14">
        <f>(I14+J14)/2</f>
        <v>35.125</v>
      </c>
      <c r="L14">
        <f>(K15-K14) *24* 50 - (2*24*1.42)</f>
        <v>7881.84</v>
      </c>
    </row>
    <row r="15" spans="1:12" x14ac:dyDescent="0.25">
      <c r="A15">
        <v>1265</v>
      </c>
      <c r="B15">
        <v>1473</v>
      </c>
      <c r="C15" s="2">
        <v>44006</v>
      </c>
      <c r="D15" t="s">
        <v>7</v>
      </c>
      <c r="E15" s="1">
        <v>44074</v>
      </c>
      <c r="F15">
        <v>2520</v>
      </c>
      <c r="G15" t="s">
        <v>8</v>
      </c>
      <c r="H15">
        <v>-0.1183</v>
      </c>
      <c r="I15">
        <v>41.25</v>
      </c>
      <c r="J15">
        <v>42.25</v>
      </c>
      <c r="K15">
        <f>(I15+J15)/2</f>
        <v>41.75</v>
      </c>
    </row>
    <row r="17" spans="1:12" x14ac:dyDescent="0.25">
      <c r="A17">
        <v>1288</v>
      </c>
      <c r="B17">
        <v>1523</v>
      </c>
      <c r="C17" s="2">
        <v>44095</v>
      </c>
      <c r="D17" s="1" t="s">
        <v>9</v>
      </c>
      <c r="E17" s="1">
        <v>44165</v>
      </c>
      <c r="F17">
        <v>2750</v>
      </c>
      <c r="G17" t="s">
        <v>8</v>
      </c>
      <c r="H17">
        <v>-0.12570000000000001</v>
      </c>
      <c r="I17">
        <v>35.5</v>
      </c>
      <c r="J17">
        <v>36</v>
      </c>
      <c r="K17">
        <f>(I17+J17)/2</f>
        <v>35.75</v>
      </c>
      <c r="L17">
        <f>(K18-K17) *5* 50 - (2*5*1.42)</f>
        <v>-107.95</v>
      </c>
    </row>
    <row r="18" spans="1:12" x14ac:dyDescent="0.25">
      <c r="A18">
        <v>1288</v>
      </c>
      <c r="B18">
        <v>1523</v>
      </c>
      <c r="C18" s="2">
        <v>44095</v>
      </c>
      <c r="D18" t="s">
        <v>7</v>
      </c>
      <c r="E18" s="1">
        <v>44165</v>
      </c>
      <c r="F18">
        <v>2750</v>
      </c>
      <c r="G18" t="s">
        <v>8</v>
      </c>
      <c r="H18">
        <v>-0.12570000000000001</v>
      </c>
      <c r="I18">
        <v>35</v>
      </c>
      <c r="J18">
        <v>35.75</v>
      </c>
      <c r="K18">
        <f>(I18+J18)/2</f>
        <v>35.375</v>
      </c>
    </row>
    <row r="20" spans="1:12" x14ac:dyDescent="0.25">
      <c r="A20">
        <v>1405</v>
      </c>
      <c r="B20">
        <v>1582</v>
      </c>
      <c r="C20" s="2">
        <v>44207</v>
      </c>
      <c r="D20" s="1" t="s">
        <v>9</v>
      </c>
      <c r="E20" s="1">
        <v>44253</v>
      </c>
      <c r="F20">
        <v>3300</v>
      </c>
      <c r="G20" t="s">
        <v>8</v>
      </c>
      <c r="H20">
        <v>-9.8599999999999993E-2</v>
      </c>
      <c r="I20">
        <v>20.25</v>
      </c>
      <c r="J20">
        <v>21</v>
      </c>
      <c r="K20">
        <f>(I20+J20)/2</f>
        <v>20.625</v>
      </c>
      <c r="L20">
        <f>(K21-K20) *6* 50 - (2*6*1.42)</f>
        <v>357.96</v>
      </c>
    </row>
    <row r="21" spans="1:12" x14ac:dyDescent="0.25">
      <c r="A21">
        <v>1405</v>
      </c>
      <c r="B21">
        <v>1582</v>
      </c>
      <c r="C21" s="2">
        <v>44207</v>
      </c>
      <c r="D21" t="s">
        <v>7</v>
      </c>
      <c r="E21" s="1">
        <v>44253</v>
      </c>
      <c r="F21">
        <v>3300</v>
      </c>
      <c r="G21" t="s">
        <v>8</v>
      </c>
      <c r="H21">
        <v>-9.8599999999999993E-2</v>
      </c>
      <c r="I21">
        <v>21.5</v>
      </c>
      <c r="J21">
        <v>22.25</v>
      </c>
      <c r="K21">
        <f>(I21+J21)/2</f>
        <v>21.875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Hedge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</dc:creator>
  <cp:lastModifiedBy>basil thomas</cp:lastModifiedBy>
  <dcterms:created xsi:type="dcterms:W3CDTF">2020-02-16T23:12:50Z</dcterms:created>
  <dcterms:modified xsi:type="dcterms:W3CDTF">2021-01-14T13:47:45Z</dcterms:modified>
</cp:coreProperties>
</file>